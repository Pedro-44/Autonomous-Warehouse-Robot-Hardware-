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QUT 2nd year\EGB320 Mechatronics\General Info and Organization\"/>
    </mc:Choice>
  </mc:AlternateContent>
  <xr:revisionPtr revIDLastSave="0" documentId="13_ncr:1_{9A2B3E49-96B8-44E7-AB51-F4A3BC145389}" xr6:coauthVersionLast="47" xr6:coauthVersionMax="47" xr10:uidLastSave="{00000000-0000-0000-0000-000000000000}"/>
  <bookViews>
    <workbookView xWindow="-110" yWindow="-110" windowWidth="19420" windowHeight="11020" firstSheet="3" activeTab="8" xr2:uid="{8DE94FC4-89CF-4120-BF4E-C3A5A20C23A8}"/>
  </bookViews>
  <sheets>
    <sheet name="Gráfico2" sheetId="3" r:id="rId1"/>
    <sheet name="Gráfico1" sheetId="2" r:id="rId2"/>
    <sheet name="Gráfico6" sheetId="7" r:id="rId3"/>
    <sheet name="Gráfico5" sheetId="6" r:id="rId4"/>
    <sheet name="Gráfico4" sheetId="5" r:id="rId5"/>
    <sheet name="Gráfico3" sheetId="4" r:id="rId6"/>
    <sheet name="Gráfico8" sheetId="9" r:id="rId7"/>
    <sheet name="Gráfico7" sheetId="8" r:id="rId8"/>
    <sheet name="BURNDOWN CHART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H12" i="1"/>
  <c r="H13" i="1" s="1"/>
  <c r="H11" i="1"/>
  <c r="I13" i="1"/>
  <c r="I14" i="1" s="1"/>
  <c r="I15" i="1" s="1"/>
  <c r="I16" i="1" s="1"/>
  <c r="I17" i="1" s="1"/>
  <c r="I18" i="1" s="1"/>
  <c r="I19" i="1" s="1"/>
  <c r="I20" i="1" s="1"/>
  <c r="I21" i="1" s="1"/>
  <c r="I22" i="1" s="1"/>
  <c r="I12" i="1"/>
  <c r="D11" i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C23" i="1"/>
  <c r="I10" i="1" s="1"/>
  <c r="H14" i="1" l="1"/>
  <c r="H15" i="1" s="1"/>
  <c r="H16" i="1" s="1"/>
  <c r="H9" i="1"/>
  <c r="H10" i="1"/>
  <c r="I9" i="1"/>
  <c r="H18" i="1" l="1"/>
  <c r="H19" i="1"/>
  <c r="H20" i="1" s="1"/>
  <c r="H21" i="1" l="1"/>
  <c r="H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stakeholdermap.com</author>
  </authors>
  <commentList>
    <comment ref="E8" authorId="0" shapeId="0" xr:uid="{0F12277B-56DE-4D93-9F53-6A659071238E}">
      <text>
        <r>
          <rPr>
            <b/>
            <sz val="9"/>
            <color indexed="81"/>
            <rFont val="Tahoma"/>
            <charset val="1"/>
          </rPr>
          <t>stakeholdermap.com:</t>
        </r>
        <r>
          <rPr>
            <sz val="9"/>
            <color indexed="81"/>
            <rFont val="Tahoma"/>
            <charset val="1"/>
          </rPr>
          <t xml:space="preserve">
Change the timescale to suit you needs e.g. Sprint or Iteration.</t>
        </r>
      </text>
    </comment>
    <comment ref="F8" authorId="0" shapeId="0" xr:uid="{535F9894-9A1F-4DF7-8159-F88DA8ABA8B2}">
      <text>
        <r>
          <rPr>
            <b/>
            <sz val="9"/>
            <color indexed="81"/>
            <rFont val="Tahoma"/>
            <family val="2"/>
          </rPr>
          <t>stakeholdermap.com:</t>
        </r>
        <r>
          <rPr>
            <sz val="9"/>
            <color indexed="81"/>
            <rFont val="Tahoma"/>
            <family val="2"/>
          </rPr>
          <t xml:space="preserve">
Number of features or story points you plan to complete.</t>
        </r>
      </text>
    </comment>
    <comment ref="H8" authorId="0" shapeId="0" xr:uid="{1C0B6E20-23DC-4E72-9E08-46FE58B10CB0}">
      <text>
        <r>
          <rPr>
            <b/>
            <sz val="9"/>
            <color indexed="81"/>
            <rFont val="Tahoma"/>
            <family val="2"/>
          </rPr>
          <t>stakeholdermap.com:</t>
        </r>
        <r>
          <rPr>
            <sz val="9"/>
            <color indexed="81"/>
            <rFont val="Tahoma"/>
            <family val="2"/>
          </rPr>
          <t xml:space="preserve">
Number of features or story points actually remaining at the end of each day/iteration/sprint.</t>
        </r>
      </text>
    </comment>
  </commentList>
</comments>
</file>

<file path=xl/sharedStrings.xml><?xml version="1.0" encoding="utf-8"?>
<sst xmlns="http://schemas.openxmlformats.org/spreadsheetml/2006/main" count="18" uniqueCount="18">
  <si>
    <t>Done</t>
  </si>
  <si>
    <t>Goal</t>
  </si>
  <si>
    <t>Introduction</t>
  </si>
  <si>
    <t>Sprint 1</t>
  </si>
  <si>
    <t>Sprint 2</t>
  </si>
  <si>
    <t>Sprint 3</t>
  </si>
  <si>
    <t>Sprint 4</t>
  </si>
  <si>
    <t>Date</t>
  </si>
  <si>
    <t>Sprint</t>
  </si>
  <si>
    <t>Sprint story points</t>
  </si>
  <si>
    <t>-</t>
  </si>
  <si>
    <t>Weeks [Wednesdays]</t>
  </si>
  <si>
    <t>Sprint 5</t>
  </si>
  <si>
    <t>Ideal Guideline</t>
  </si>
  <si>
    <t>Actual and Estimation</t>
  </si>
  <si>
    <t>6 behind</t>
  </si>
  <si>
    <t>2 behind</t>
  </si>
  <si>
    <t>12 behind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</si>
</sst>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sz val="18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" fontId="0" fillId="0" borderId="0" xfId="0" applyNumberFormat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16" fontId="0" fillId="5" borderId="1" xfId="0" applyNumberFormat="1" applyFill="1" applyBorder="1"/>
    <xf numFmtId="0" fontId="0" fillId="5" borderId="1" xfId="0" applyFill="1" applyBorder="1"/>
    <xf numFmtId="16" fontId="0" fillId="5" borderId="3" xfId="0" applyNumberFormat="1" applyFill="1" applyBorder="1"/>
    <xf numFmtId="0" fontId="0" fillId="5" borderId="3" xfId="0" applyFill="1" applyBorder="1"/>
    <xf numFmtId="0" fontId="0" fillId="0" borderId="1" xfId="0" applyBorder="1" applyAlignment="1">
      <alignment horizontal="right"/>
    </xf>
    <xf numFmtId="1" fontId="0" fillId="6" borderId="1" xfId="0" applyNumberFormat="1" applyFill="1" applyBorder="1"/>
    <xf numFmtId="1" fontId="0" fillId="6" borderId="3" xfId="0" applyNumberFormat="1" applyFill="1" applyBorder="1"/>
    <xf numFmtId="1" fontId="0" fillId="0" borderId="1" xfId="0" applyNumberFormat="1" applyBorder="1"/>
    <xf numFmtId="16" fontId="0" fillId="0" borderId="0" xfId="0" applyNumberFormat="1" applyAlignment="1">
      <alignment vertical="center"/>
    </xf>
    <xf numFmtId="0" fontId="0" fillId="7" borderId="1" xfId="0" applyFill="1" applyBorder="1"/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16" fontId="0" fillId="0" borderId="3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5" borderId="3" xfId="1" applyNumberFormat="1" applyFont="1" applyFill="1" applyBorder="1" applyAlignment="1">
      <alignment horizontal="center" vertical="center"/>
    </xf>
    <xf numFmtId="1" fontId="0" fillId="5" borderId="2" xfId="1" applyNumberFormat="1" applyFont="1" applyFill="1" applyBorder="1" applyAlignment="1">
      <alignment horizontal="center" vertical="center"/>
    </xf>
    <xf numFmtId="16" fontId="0" fillId="5" borderId="3" xfId="0" applyNumberFormat="1" applyFill="1" applyBorder="1" applyAlignment="1">
      <alignment horizontal="center" vertical="center"/>
    </xf>
    <xf numFmtId="16" fontId="0" fillId="5" borderId="2" xfId="0" applyNumberForma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00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tyles" Target="styles.xml"/><Relationship Id="rId5" Type="http://schemas.openxmlformats.org/officeDocument/2006/relationships/chartsheet" Target="chartsheets/sheet5.xml"/><Relationship Id="rId10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041264"/>
        <c:axId val="562035440"/>
      </c:barChart>
      <c:catAx>
        <c:axId val="56204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035440"/>
        <c:crosses val="autoZero"/>
        <c:auto val="1"/>
        <c:lblAlgn val="ctr"/>
        <c:lblOffset val="100"/>
        <c:noMultiLvlLbl val="0"/>
      </c:catAx>
      <c:valAx>
        <c:axId val="56203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04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491232"/>
        <c:axId val="655490816"/>
      </c:barChart>
      <c:catAx>
        <c:axId val="655491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490816"/>
        <c:crosses val="autoZero"/>
        <c:auto val="1"/>
        <c:lblAlgn val="ctr"/>
        <c:lblOffset val="100"/>
        <c:noMultiLvlLbl val="0"/>
      </c:catAx>
      <c:valAx>
        <c:axId val="65549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49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073456"/>
        <c:axId val="1001062640"/>
      </c:barChart>
      <c:catAx>
        <c:axId val="1001073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62640"/>
        <c:crosses val="autoZero"/>
        <c:auto val="1"/>
        <c:lblAlgn val="ctr"/>
        <c:lblOffset val="100"/>
        <c:noMultiLvlLbl val="0"/>
      </c:catAx>
      <c:valAx>
        <c:axId val="100106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7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073040"/>
        <c:axId val="1001074704"/>
      </c:barChart>
      <c:catAx>
        <c:axId val="1001073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74704"/>
        <c:crosses val="autoZero"/>
        <c:auto val="1"/>
        <c:lblAlgn val="ctr"/>
        <c:lblOffset val="100"/>
        <c:noMultiLvlLbl val="0"/>
      </c:catAx>
      <c:valAx>
        <c:axId val="100107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7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069296"/>
        <c:axId val="1001055152"/>
      </c:barChart>
      <c:catAx>
        <c:axId val="100106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55152"/>
        <c:crosses val="autoZero"/>
        <c:auto val="1"/>
        <c:lblAlgn val="ctr"/>
        <c:lblOffset val="100"/>
        <c:noMultiLvlLbl val="0"/>
      </c:catAx>
      <c:valAx>
        <c:axId val="100105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6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057648"/>
        <c:axId val="1001070128"/>
      </c:barChart>
      <c:catAx>
        <c:axId val="1001057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70128"/>
        <c:crosses val="autoZero"/>
        <c:auto val="1"/>
        <c:lblAlgn val="ctr"/>
        <c:lblOffset val="100"/>
        <c:noMultiLvlLbl val="0"/>
      </c:catAx>
      <c:valAx>
        <c:axId val="100107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5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064592"/>
        <c:axId val="1555065008"/>
      </c:barChart>
      <c:catAx>
        <c:axId val="1555064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065008"/>
        <c:crosses val="autoZero"/>
        <c:auto val="1"/>
        <c:lblAlgn val="ctr"/>
        <c:lblOffset val="100"/>
        <c:noMultiLvlLbl val="0"/>
      </c:catAx>
      <c:valAx>
        <c:axId val="155506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06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179024"/>
        <c:axId val="159179440"/>
      </c:barChart>
      <c:catAx>
        <c:axId val="159179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79440"/>
        <c:crosses val="autoZero"/>
        <c:auto val="1"/>
        <c:lblAlgn val="ctr"/>
        <c:lblOffset val="100"/>
        <c:noMultiLvlLbl val="0"/>
      </c:catAx>
      <c:valAx>
        <c:axId val="1591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7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EGB320 Project Burndown chart</a:t>
            </a:r>
          </a:p>
        </c:rich>
      </c:tx>
      <c:layout>
        <c:manualLayout>
          <c:xMode val="edge"/>
          <c:yMode val="edge"/>
          <c:x val="0.3319394171893035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'BURNDOWN CHART'!$H$8</c:f>
              <c:strCache>
                <c:ptCount val="1"/>
                <c:pt idx="0">
                  <c:v>Actual and Estimation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222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44-4083-8D74-08A6365A83C6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222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7844-4083-8D74-08A6365A83C6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222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844-4083-8D74-08A6365A83C6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222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507C-41B7-BA95-3469D2EF00B7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222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507C-41B7-BA95-3469D2EF00B7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222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507C-41B7-BA95-3469D2EF00B7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222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96E6-4949-B51D-09A6F96A27E9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222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96E6-4949-B51D-09A6F96A27E9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222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96E6-4949-B51D-09A6F96A27E9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2225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EFA-43F6-A35F-6CBCD89CD0D1}"/>
              </c:ext>
            </c:extLst>
          </c:dPt>
          <c:cat>
            <c:strRef>
              <c:f>('BURNDOWN CHART'!$E$9:$E$22,'BURNDOWN CHART'!$B$9:$B$22)</c:f>
              <c:strCach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-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Introduction</c:v>
                </c:pt>
                <c:pt idx="16">
                  <c:v>Sprint 1</c:v>
                </c:pt>
                <c:pt idx="18">
                  <c:v>Sprint 2</c:v>
                </c:pt>
                <c:pt idx="20">
                  <c:v>Sprint 3</c:v>
                </c:pt>
                <c:pt idx="22">
                  <c:v>Sprint 4</c:v>
                </c:pt>
                <c:pt idx="25">
                  <c:v>Sprint 5</c:v>
                </c:pt>
              </c:strCache>
            </c:strRef>
          </c:cat>
          <c:val>
            <c:numRef>
              <c:f>'BURNDOWN CHART'!$H$9:$H$22</c:f>
              <c:numCache>
                <c:formatCode>0</c:formatCode>
                <c:ptCount val="14"/>
                <c:pt idx="0">
                  <c:v>275</c:v>
                </c:pt>
                <c:pt idx="1">
                  <c:v>275</c:v>
                </c:pt>
                <c:pt idx="2">
                  <c:v>275</c:v>
                </c:pt>
                <c:pt idx="3">
                  <c:v>253</c:v>
                </c:pt>
                <c:pt idx="4">
                  <c:v>226</c:v>
                </c:pt>
                <c:pt idx="5">
                  <c:v>194</c:v>
                </c:pt>
                <c:pt idx="6">
                  <c:v>169</c:v>
                </c:pt>
                <c:pt idx="7">
                  <c:v>149</c:v>
                </c:pt>
                <c:pt idx="8">
                  <c:v>124</c:v>
                </c:pt>
                <c:pt idx="9">
                  <c:v>96</c:v>
                </c:pt>
                <c:pt idx="10">
                  <c:v>86</c:v>
                </c:pt>
                <c:pt idx="11">
                  <c:v>76</c:v>
                </c:pt>
                <c:pt idx="12">
                  <c:v>48</c:v>
                </c:pt>
                <c:pt idx="1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6B-4FBF-A055-2EB2D28A1744}"/>
            </c:ext>
          </c:extLst>
        </c:ser>
        <c:ser>
          <c:idx val="0"/>
          <c:order val="1"/>
          <c:tx>
            <c:strRef>
              <c:f>'BURNDOWN CHART'!$I$8</c:f>
              <c:strCache>
                <c:ptCount val="1"/>
                <c:pt idx="0">
                  <c:v>Ideal Guideline</c:v>
                </c:pt>
              </c:strCache>
            </c:strRef>
          </c:tx>
          <c:spPr>
            <a:ln w="2222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A687-4911-B749-728F1EAF9050}"/>
              </c:ext>
            </c:extLst>
          </c:dPt>
          <c:cat>
            <c:strRef>
              <c:f>('BURNDOWN CHART'!$E$9:$E$22,'BURNDOWN CHART'!$B$9:$B$22)</c:f>
              <c:strCach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-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Introduction</c:v>
                </c:pt>
                <c:pt idx="16">
                  <c:v>Sprint 1</c:v>
                </c:pt>
                <c:pt idx="18">
                  <c:v>Sprint 2</c:v>
                </c:pt>
                <c:pt idx="20">
                  <c:v>Sprint 3</c:v>
                </c:pt>
                <c:pt idx="22">
                  <c:v>Sprint 4</c:v>
                </c:pt>
                <c:pt idx="25">
                  <c:v>Sprint 5</c:v>
                </c:pt>
              </c:strCache>
            </c:strRef>
          </c:cat>
          <c:val>
            <c:numRef>
              <c:f>'BURNDOWN CHART'!$I$9:$I$22</c:f>
              <c:numCache>
                <c:formatCode>0</c:formatCode>
                <c:ptCount val="14"/>
                <c:pt idx="0">
                  <c:v>275</c:v>
                </c:pt>
                <c:pt idx="1">
                  <c:v>275</c:v>
                </c:pt>
                <c:pt idx="2">
                  <c:v>275</c:v>
                </c:pt>
                <c:pt idx="3">
                  <c:v>247</c:v>
                </c:pt>
                <c:pt idx="4">
                  <c:v>220</c:v>
                </c:pt>
                <c:pt idx="5">
                  <c:v>192</c:v>
                </c:pt>
                <c:pt idx="6">
                  <c:v>165</c:v>
                </c:pt>
                <c:pt idx="7">
                  <c:v>137</c:v>
                </c:pt>
                <c:pt idx="8">
                  <c:v>110</c:v>
                </c:pt>
                <c:pt idx="9">
                  <c:v>82</c:v>
                </c:pt>
                <c:pt idx="10">
                  <c:v>82</c:v>
                </c:pt>
                <c:pt idx="11">
                  <c:v>55</c:v>
                </c:pt>
                <c:pt idx="12">
                  <c:v>27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87-4911-B749-728F1EAF9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219392"/>
        <c:axId val="8243664"/>
      </c:lineChart>
      <c:catAx>
        <c:axId val="2212193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[Weeks]</a:t>
                </a:r>
              </a:p>
            </c:rich>
          </c:tx>
          <c:layout>
            <c:manualLayout>
              <c:xMode val="edge"/>
              <c:yMode val="edge"/>
              <c:x val="0.45562559078147263"/>
              <c:y val="0.929322429773349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3664"/>
        <c:crosses val="autoZero"/>
        <c:auto val="0"/>
        <c:lblAlgn val="ctr"/>
        <c:lblOffset val="100"/>
        <c:noMultiLvlLbl val="0"/>
      </c:catAx>
      <c:valAx>
        <c:axId val="82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Story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1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921062165137436"/>
          <c:y val="0.18328112135338218"/>
          <c:w val="0.19481257492869097"/>
          <c:h val="9.665127247316615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96D8BD-8464-4917-9BE7-D5DF11831ADA}">
  <sheetPr/>
  <sheetViews>
    <sheetView zoomScale="6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4475E9-4C62-461B-87F6-98CDD54226CC}">
  <sheetPr/>
  <sheetViews>
    <sheetView zoomScale="6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412AEF-0F9C-4B0A-A473-8366B14DE9CF}">
  <sheetPr/>
  <sheetViews>
    <sheetView zoomScale="6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40CC9FE-D754-4CD1-86C6-FFA978E7D3CA}">
  <sheetPr/>
  <sheetViews>
    <sheetView zoomScale="69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387AA78-F8BF-4DED-AE11-C6F0AF4ED64B}">
  <sheetPr/>
  <sheetViews>
    <sheetView zoomScale="69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9147784-9BFB-459D-8621-8174A0C07CB7}">
  <sheetPr/>
  <sheetViews>
    <sheetView zoomScale="69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2136E8-CFF0-4A95-A9B5-E54FCE7F4FED}">
  <sheetPr/>
  <sheetViews>
    <sheetView zoomScale="69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A0EEA47-F21E-4FB7-8B4B-0C83A4A9D545}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2015" cy="629313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9C181F-0E1B-4D1F-BB0F-E74B459F08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5725" cy="606471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938A36-FEC4-4E94-AAFD-39E14E2435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5725" cy="606471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DC7E6B-4626-451F-A60D-117092AB09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5725" cy="606471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662831-1368-43C9-91DD-84354542234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5725" cy="606471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11E07E-4A16-4B00-B30F-E0FB729DE8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5725" cy="606471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69BA30-27EC-4261-9835-1018336F1C0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5725" cy="606471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B4E44E-6C42-43A9-B661-23911357119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5725" cy="606471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47DB64-17C2-4EC1-A537-968C63F0C5E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0</xdr:row>
      <xdr:rowOff>76200</xdr:rowOff>
    </xdr:from>
    <xdr:to>
      <xdr:col>13</xdr:col>
      <xdr:colOff>309298</xdr:colOff>
      <xdr:row>4</xdr:row>
      <xdr:rowOff>97367</xdr:rowOff>
    </xdr:to>
    <xdr:pic>
      <xdr:nvPicPr>
        <xdr:cNvPr id="3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BBA3E-544D-4863-AA18-2F65A97D5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6200"/>
          <a:ext cx="6200775" cy="7831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550372</xdr:colOff>
      <xdr:row>7</xdr:row>
      <xdr:rowOff>276728</xdr:rowOff>
    </xdr:from>
    <xdr:to>
      <xdr:col>22</xdr:col>
      <xdr:colOff>378718</xdr:colOff>
      <xdr:row>30</xdr:row>
      <xdr:rowOff>141221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753DB39C-8D2B-4C50-9D0B-CA99BDE8D141}"/>
            </a:ext>
          </a:extLst>
        </xdr:cNvPr>
        <xdr:cNvGrpSpPr/>
      </xdr:nvGrpSpPr>
      <xdr:grpSpPr>
        <a:xfrm>
          <a:off x="7744713" y="1665354"/>
          <a:ext cx="7113401" cy="4351362"/>
          <a:chOff x="7744015" y="1667832"/>
          <a:chExt cx="7124861" cy="434850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30F8A74-9E25-4276-AA80-C2B664A4CDAD}"/>
              </a:ext>
            </a:extLst>
          </xdr:cNvPr>
          <xdr:cNvGraphicFramePr/>
        </xdr:nvGraphicFramePr>
        <xdr:xfrm>
          <a:off x="7744015" y="1667832"/>
          <a:ext cx="7124861" cy="4348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pSp>
        <xdr:nvGrpSpPr>
          <xdr:cNvPr id="10" name="Grupo 9">
            <a:extLst>
              <a:ext uri="{FF2B5EF4-FFF2-40B4-BE49-F238E27FC236}">
                <a16:creationId xmlns:a16="http://schemas.microsoft.com/office/drawing/2014/main" id="{8F600808-FA40-4A0D-ACAC-A481F9F0E6DA}"/>
              </a:ext>
            </a:extLst>
          </xdr:cNvPr>
          <xdr:cNvGrpSpPr/>
        </xdr:nvGrpSpPr>
        <xdr:grpSpPr>
          <a:xfrm>
            <a:off x="8391400" y="2116247"/>
            <a:ext cx="6342202" cy="3375198"/>
            <a:chOff x="7981907" y="6713078"/>
            <a:chExt cx="6328760" cy="3179510"/>
          </a:xfrm>
        </xdr:grpSpPr>
        <xdr:sp macro="" textlink="">
          <xdr:nvSpPr>
            <xdr:cNvPr id="2" name="Rectángulo 1">
              <a:extLst>
                <a:ext uri="{FF2B5EF4-FFF2-40B4-BE49-F238E27FC236}">
                  <a16:creationId xmlns:a16="http://schemas.microsoft.com/office/drawing/2014/main" id="{7EC7D43B-2212-4BDC-96C7-A0256367C73E}"/>
                </a:ext>
              </a:extLst>
            </xdr:cNvPr>
            <xdr:cNvSpPr/>
          </xdr:nvSpPr>
          <xdr:spPr>
            <a:xfrm>
              <a:off x="7981907" y="6718062"/>
              <a:ext cx="1142604" cy="3159799"/>
            </a:xfrm>
            <a:prstGeom prst="rect">
              <a:avLst/>
            </a:prstGeom>
            <a:solidFill>
              <a:schemeClr val="bg1">
                <a:lumMod val="85000"/>
                <a:alpha val="18824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11561533-BB64-42EC-A528-0F9BF2E7BB60}"/>
                </a:ext>
              </a:extLst>
            </xdr:cNvPr>
            <xdr:cNvSpPr/>
          </xdr:nvSpPr>
          <xdr:spPr>
            <a:xfrm>
              <a:off x="9110568" y="6730366"/>
              <a:ext cx="906185" cy="3147497"/>
            </a:xfrm>
            <a:prstGeom prst="rect">
              <a:avLst/>
            </a:prstGeom>
            <a:solidFill>
              <a:schemeClr val="tx2">
                <a:lumMod val="40000"/>
                <a:lumOff val="60000"/>
                <a:alpha val="18824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" name="Rectángulo 5">
              <a:extLst>
                <a:ext uri="{FF2B5EF4-FFF2-40B4-BE49-F238E27FC236}">
                  <a16:creationId xmlns:a16="http://schemas.microsoft.com/office/drawing/2014/main" id="{E4BD7EC9-ABC3-4019-9A12-627457D1E682}"/>
                </a:ext>
              </a:extLst>
            </xdr:cNvPr>
            <xdr:cNvSpPr/>
          </xdr:nvSpPr>
          <xdr:spPr>
            <a:xfrm>
              <a:off x="10915965" y="6718065"/>
              <a:ext cx="899211" cy="3174523"/>
            </a:xfrm>
            <a:prstGeom prst="rect">
              <a:avLst/>
            </a:prstGeom>
            <a:solidFill>
              <a:schemeClr val="tx2">
                <a:lumMod val="40000"/>
                <a:lumOff val="60000"/>
                <a:alpha val="18824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" name="Rectángulo 6">
              <a:extLst>
                <a:ext uri="{FF2B5EF4-FFF2-40B4-BE49-F238E27FC236}">
                  <a16:creationId xmlns:a16="http://schemas.microsoft.com/office/drawing/2014/main" id="{DFF1C998-D6F9-45BA-ABEA-86509E821C3F}"/>
                </a:ext>
              </a:extLst>
            </xdr:cNvPr>
            <xdr:cNvSpPr/>
          </xdr:nvSpPr>
          <xdr:spPr>
            <a:xfrm>
              <a:off x="9995840" y="6730524"/>
              <a:ext cx="920125" cy="3150255"/>
            </a:xfrm>
            <a:prstGeom prst="rect">
              <a:avLst/>
            </a:prstGeom>
            <a:solidFill>
              <a:schemeClr val="bg1">
                <a:lumMod val="85000"/>
                <a:alpha val="18824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" name="Rectángulo 7">
              <a:extLst>
                <a:ext uri="{FF2B5EF4-FFF2-40B4-BE49-F238E27FC236}">
                  <a16:creationId xmlns:a16="http://schemas.microsoft.com/office/drawing/2014/main" id="{79C55EAA-59B3-4D3D-A539-A82FFFF4F990}"/>
                </a:ext>
              </a:extLst>
            </xdr:cNvPr>
            <xdr:cNvSpPr/>
          </xdr:nvSpPr>
          <xdr:spPr>
            <a:xfrm>
              <a:off x="11817145" y="6713078"/>
              <a:ext cx="1373821" cy="3163302"/>
            </a:xfrm>
            <a:prstGeom prst="rect">
              <a:avLst/>
            </a:prstGeom>
            <a:solidFill>
              <a:schemeClr val="bg1">
                <a:lumMod val="85000"/>
                <a:alpha val="18824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" name="Rectángulo 8">
              <a:extLst>
                <a:ext uri="{FF2B5EF4-FFF2-40B4-BE49-F238E27FC236}">
                  <a16:creationId xmlns:a16="http://schemas.microsoft.com/office/drawing/2014/main" id="{FE77D754-212D-45C7-A2E3-2CE87CA780F0}"/>
                </a:ext>
              </a:extLst>
            </xdr:cNvPr>
            <xdr:cNvSpPr/>
          </xdr:nvSpPr>
          <xdr:spPr>
            <a:xfrm>
              <a:off x="13188394" y="6733467"/>
              <a:ext cx="1122273" cy="3144143"/>
            </a:xfrm>
            <a:prstGeom prst="rect">
              <a:avLst/>
            </a:prstGeom>
            <a:solidFill>
              <a:schemeClr val="tx2">
                <a:lumMod val="40000"/>
                <a:lumOff val="60000"/>
                <a:alpha val="18824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18</xdr:col>
      <xdr:colOff>606744</xdr:colOff>
      <xdr:row>22</xdr:row>
      <xdr:rowOff>94404</xdr:rowOff>
    </xdr:from>
    <xdr:to>
      <xdr:col>19</xdr:col>
      <xdr:colOff>562173</xdr:colOff>
      <xdr:row>24</xdr:row>
      <xdr:rowOff>8205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4D2C219-4AA0-43A9-910D-585F600FBE19}"/>
            </a:ext>
          </a:extLst>
        </xdr:cNvPr>
        <xdr:cNvSpPr txBox="1"/>
      </xdr:nvSpPr>
      <xdr:spPr>
        <a:xfrm>
          <a:off x="12678290" y="4552497"/>
          <a:ext cx="564244" cy="2803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bg1">
                  <a:lumMod val="50000"/>
                </a:schemeClr>
              </a:solidFill>
            </a:rPr>
            <a:t>Break</a:t>
          </a:r>
        </a:p>
      </xdr:txBody>
    </xdr:sp>
    <xdr:clientData/>
  </xdr:twoCellAnchor>
  <xdr:twoCellAnchor>
    <xdr:from>
      <xdr:col>12</xdr:col>
      <xdr:colOff>294529</xdr:colOff>
      <xdr:row>8</xdr:row>
      <xdr:rowOff>153657</xdr:rowOff>
    </xdr:from>
    <xdr:to>
      <xdr:col>21</xdr:col>
      <xdr:colOff>596175</xdr:colOff>
      <xdr:row>10</xdr:row>
      <xdr:rowOff>98308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77D20A40-04C9-4318-9BE2-DF7F4DFAF54F}"/>
            </a:ext>
          </a:extLst>
        </xdr:cNvPr>
        <xdr:cNvGrpSpPr/>
      </xdr:nvGrpSpPr>
      <xdr:grpSpPr>
        <a:xfrm>
          <a:off x="8703045" y="1912119"/>
          <a:ext cx="5765438" cy="307508"/>
          <a:chOff x="8735383" y="1942498"/>
          <a:chExt cx="5807560" cy="316359"/>
        </a:xfrm>
      </xdr:grpSpPr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8F0E4014-C0D8-4C80-ABB2-EE64E460CF76}"/>
              </a:ext>
            </a:extLst>
          </xdr:cNvPr>
          <xdr:cNvSpPr txBox="1"/>
        </xdr:nvSpPr>
        <xdr:spPr>
          <a:xfrm>
            <a:off x="8735383" y="1942498"/>
            <a:ext cx="508099" cy="2855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>
                <a:solidFill>
                  <a:schemeClr val="bg1">
                    <a:lumMod val="50000"/>
                  </a:schemeClr>
                </a:solidFill>
              </a:rPr>
              <a:t>Intro</a:t>
            </a:r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85BC8E02-1770-44F1-9948-B61826FB41F1}"/>
              </a:ext>
            </a:extLst>
          </xdr:cNvPr>
          <xdr:cNvSpPr txBox="1"/>
        </xdr:nvSpPr>
        <xdr:spPr>
          <a:xfrm>
            <a:off x="9705894" y="1944852"/>
            <a:ext cx="566597" cy="2855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>
                <a:solidFill>
                  <a:schemeClr val="bg1">
                    <a:lumMod val="50000"/>
                  </a:schemeClr>
                </a:solidFill>
              </a:rPr>
              <a:t>Sprint</a:t>
            </a:r>
            <a:r>
              <a:rPr lang="en-US" sz="900" baseline="0">
                <a:solidFill>
                  <a:schemeClr val="bg1">
                    <a:lumMod val="50000"/>
                  </a:schemeClr>
                </a:solidFill>
              </a:rPr>
              <a:t> 1</a:t>
            </a:r>
            <a:endParaRPr lang="en-US" sz="9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37B78B10-9D89-44E4-A315-0213D4C6D595}"/>
              </a:ext>
            </a:extLst>
          </xdr:cNvPr>
          <xdr:cNvSpPr txBox="1"/>
        </xdr:nvSpPr>
        <xdr:spPr>
          <a:xfrm>
            <a:off x="10604069" y="1975902"/>
            <a:ext cx="569551" cy="2829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>
                <a:solidFill>
                  <a:schemeClr val="bg1">
                    <a:lumMod val="50000"/>
                  </a:schemeClr>
                </a:solidFill>
              </a:rPr>
              <a:t>Sprint</a:t>
            </a:r>
            <a:r>
              <a:rPr lang="en-US" sz="900" baseline="0">
                <a:solidFill>
                  <a:schemeClr val="bg1">
                    <a:lumMod val="50000"/>
                  </a:schemeClr>
                </a:solidFill>
              </a:rPr>
              <a:t> 2</a:t>
            </a:r>
            <a:endParaRPr lang="en-US" sz="9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7A6FFCF3-46C5-4BE2-8F0B-A41282114FFD}"/>
              </a:ext>
            </a:extLst>
          </xdr:cNvPr>
          <xdr:cNvSpPr txBox="1"/>
        </xdr:nvSpPr>
        <xdr:spPr>
          <a:xfrm>
            <a:off x="11531647" y="1967964"/>
            <a:ext cx="566598" cy="2855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>
                <a:solidFill>
                  <a:schemeClr val="bg1">
                    <a:lumMod val="50000"/>
                  </a:schemeClr>
                </a:solidFill>
              </a:rPr>
              <a:t>Sprint</a:t>
            </a:r>
            <a:r>
              <a:rPr lang="en-US" sz="900" baseline="0">
                <a:solidFill>
                  <a:schemeClr val="bg1">
                    <a:lumMod val="50000"/>
                  </a:schemeClr>
                </a:solidFill>
              </a:rPr>
              <a:t> 3</a:t>
            </a:r>
            <a:endParaRPr lang="en-US" sz="9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E61ADCDB-EE35-4D94-8486-CACE8A4E748D}"/>
              </a:ext>
            </a:extLst>
          </xdr:cNvPr>
          <xdr:cNvSpPr txBox="1"/>
        </xdr:nvSpPr>
        <xdr:spPr>
          <a:xfrm>
            <a:off x="12754913" y="1958648"/>
            <a:ext cx="566596" cy="2855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>
                <a:solidFill>
                  <a:schemeClr val="bg1">
                    <a:lumMod val="50000"/>
                  </a:schemeClr>
                </a:solidFill>
              </a:rPr>
              <a:t>Sprint</a:t>
            </a:r>
            <a:r>
              <a:rPr lang="en-US" sz="900" baseline="0">
                <a:solidFill>
                  <a:schemeClr val="bg1">
                    <a:lumMod val="50000"/>
                  </a:schemeClr>
                </a:solidFill>
              </a:rPr>
              <a:t> 4</a:t>
            </a:r>
          </a:p>
          <a:p>
            <a:endParaRPr lang="en-US" sz="9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333F7292-8D08-4E81-A096-8A81228CAD4C}"/>
              </a:ext>
            </a:extLst>
          </xdr:cNvPr>
          <xdr:cNvSpPr txBox="1"/>
        </xdr:nvSpPr>
        <xdr:spPr>
          <a:xfrm>
            <a:off x="13976377" y="1943448"/>
            <a:ext cx="566566" cy="2956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>
                <a:solidFill>
                  <a:schemeClr val="bg1">
                    <a:lumMod val="50000"/>
                  </a:schemeClr>
                </a:solidFill>
              </a:rPr>
              <a:t>Sprint</a:t>
            </a:r>
            <a:r>
              <a:rPr lang="en-US" sz="900" baseline="0">
                <a:solidFill>
                  <a:schemeClr val="bg1">
                    <a:lumMod val="50000"/>
                  </a:schemeClr>
                </a:solidFill>
              </a:rPr>
              <a:t> 5</a:t>
            </a:r>
          </a:p>
          <a:p>
            <a:endParaRPr lang="en-US" sz="900">
              <a:solidFill>
                <a:schemeClr val="bg1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0.81444</cdr:x>
      <cdr:y>0.66635</cdr:y>
    </cdr:from>
    <cdr:to>
      <cdr:x>0.82728</cdr:x>
      <cdr:y>0.68727</cdr:y>
    </cdr:to>
    <cdr:sp macro="" textlink="">
      <cdr:nvSpPr>
        <cdr:cNvPr id="3" name="Elipse 2">
          <a:extLst xmlns:a="http://schemas.openxmlformats.org/drawingml/2006/main">
            <a:ext uri="{FF2B5EF4-FFF2-40B4-BE49-F238E27FC236}">
              <a16:creationId xmlns:a16="http://schemas.microsoft.com/office/drawing/2014/main" id="{03E5F810-55CF-4BE2-9C8B-04CDD44B24BF}"/>
            </a:ext>
          </a:extLst>
        </cdr:cNvPr>
        <cdr:cNvSpPr/>
      </cdr:nvSpPr>
      <cdr:spPr>
        <a:xfrm xmlns:a="http://schemas.openxmlformats.org/drawingml/2006/main">
          <a:off x="5793424" y="2899516"/>
          <a:ext cx="91336" cy="91031"/>
        </a:xfrm>
        <a:prstGeom xmlns:a="http://schemas.openxmlformats.org/drawingml/2006/main" prst="ellipse">
          <a:avLst/>
        </a:prstGeom>
        <a:solidFill xmlns:a="http://schemas.openxmlformats.org/drawingml/2006/main">
          <a:srgbClr val="FFC0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6F92-313E-4822-AA5D-A69F9F9BCAC5}">
  <sheetPr>
    <tabColor rgb="FF00B050"/>
  </sheetPr>
  <dimension ref="B6:X23"/>
  <sheetViews>
    <sheetView showGridLines="0" tabSelected="1" topLeftCell="F7" zoomScale="91" zoomScaleNormal="133" workbookViewId="0">
      <selection activeCell="X16" sqref="X16"/>
    </sheetView>
  </sheetViews>
  <sheetFormatPr baseColWidth="10" defaultColWidth="8.7265625" defaultRowHeight="14.5" x14ac:dyDescent="0.35"/>
  <cols>
    <col min="1" max="1" width="4.54296875" customWidth="1"/>
    <col min="2" max="2" width="15.7265625" customWidth="1"/>
    <col min="3" max="3" width="11.453125" customWidth="1"/>
    <col min="4" max="4" width="10.90625" customWidth="1"/>
    <col min="5" max="5" width="13.81640625" customWidth="1"/>
    <col min="8" max="8" width="11.81640625" customWidth="1"/>
  </cols>
  <sheetData>
    <row r="6" spans="2:24" ht="23.5" x14ac:dyDescent="0.55000000000000004"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8" spans="2:24" ht="29" x14ac:dyDescent="0.35">
      <c r="B8" s="2" t="s">
        <v>8</v>
      </c>
      <c r="C8" s="3" t="s">
        <v>9</v>
      </c>
      <c r="D8" s="2" t="s">
        <v>7</v>
      </c>
      <c r="E8" s="4" t="s">
        <v>11</v>
      </c>
      <c r="F8" s="5" t="s">
        <v>1</v>
      </c>
      <c r="G8" s="5" t="s">
        <v>0</v>
      </c>
      <c r="H8" s="8" t="s">
        <v>14</v>
      </c>
      <c r="I8" s="8" t="s">
        <v>13</v>
      </c>
    </row>
    <row r="9" spans="2:24" x14ac:dyDescent="0.35">
      <c r="B9" s="30" t="s">
        <v>2</v>
      </c>
      <c r="C9" s="28">
        <v>0</v>
      </c>
      <c r="D9" s="9">
        <v>45861</v>
      </c>
      <c r="E9" s="10">
        <v>1</v>
      </c>
      <c r="F9" s="10">
        <v>0</v>
      </c>
      <c r="G9" s="10">
        <v>0</v>
      </c>
      <c r="H9" s="14">
        <f>C23</f>
        <v>275</v>
      </c>
      <c r="I9" s="14">
        <f>C23</f>
        <v>275</v>
      </c>
    </row>
    <row r="10" spans="2:24" x14ac:dyDescent="0.35">
      <c r="B10" s="31"/>
      <c r="C10" s="29"/>
      <c r="D10" s="11">
        <v>45868</v>
      </c>
      <c r="E10" s="12">
        <v>2</v>
      </c>
      <c r="F10" s="12">
        <v>0</v>
      </c>
      <c r="G10" s="12">
        <v>0</v>
      </c>
      <c r="H10" s="15">
        <f>C23</f>
        <v>275</v>
      </c>
      <c r="I10" s="15">
        <f>C23</f>
        <v>275</v>
      </c>
    </row>
    <row r="11" spans="2:24" x14ac:dyDescent="0.35">
      <c r="B11" s="21" t="s">
        <v>3</v>
      </c>
      <c r="C11" s="19">
        <v>55</v>
      </c>
      <c r="D11" s="9">
        <f>D10+7</f>
        <v>45875</v>
      </c>
      <c r="E11" s="1">
        <v>3</v>
      </c>
      <c r="F11" s="1">
        <v>28</v>
      </c>
      <c r="G11" s="1">
        <v>22</v>
      </c>
      <c r="H11" s="16">
        <f>H10-G10</f>
        <v>275</v>
      </c>
      <c r="I11" s="16">
        <v>275</v>
      </c>
    </row>
    <row r="12" spans="2:24" x14ac:dyDescent="0.35">
      <c r="B12" s="21"/>
      <c r="C12" s="20"/>
      <c r="D12" s="9">
        <f t="shared" ref="D12:D22" si="0">D11+7</f>
        <v>45882</v>
      </c>
      <c r="E12" s="1">
        <v>4</v>
      </c>
      <c r="F12" s="1">
        <v>27</v>
      </c>
      <c r="G12" s="1">
        <v>27</v>
      </c>
      <c r="H12" s="16">
        <f t="shared" ref="H12:H22" si="1">H11-G11</f>
        <v>253</v>
      </c>
      <c r="I12" s="16">
        <f>I11-F11</f>
        <v>247</v>
      </c>
      <c r="J12" t="s">
        <v>15</v>
      </c>
    </row>
    <row r="13" spans="2:24" x14ac:dyDescent="0.35">
      <c r="B13" s="21" t="s">
        <v>4</v>
      </c>
      <c r="C13" s="19">
        <v>55</v>
      </c>
      <c r="D13" s="9">
        <f t="shared" si="0"/>
        <v>45889</v>
      </c>
      <c r="E13" s="1">
        <v>5</v>
      </c>
      <c r="F13" s="1">
        <v>28</v>
      </c>
      <c r="G13" s="1">
        <v>32</v>
      </c>
      <c r="H13" s="16">
        <f t="shared" si="1"/>
        <v>226</v>
      </c>
      <c r="I13" s="16">
        <f t="shared" ref="I13:I22" si="2">I12-F12</f>
        <v>220</v>
      </c>
    </row>
    <row r="14" spans="2:24" x14ac:dyDescent="0.35">
      <c r="B14" s="21"/>
      <c r="C14" s="20"/>
      <c r="D14" s="9">
        <f>D13+7</f>
        <v>45896</v>
      </c>
      <c r="E14" s="1">
        <v>6</v>
      </c>
      <c r="F14" s="1">
        <v>27</v>
      </c>
      <c r="G14" s="1">
        <v>25</v>
      </c>
      <c r="H14" s="16">
        <f t="shared" si="1"/>
        <v>194</v>
      </c>
      <c r="I14" s="16">
        <f t="shared" si="2"/>
        <v>192</v>
      </c>
      <c r="J14" t="s">
        <v>16</v>
      </c>
    </row>
    <row r="15" spans="2:24" ht="24" customHeight="1" x14ac:dyDescent="0.35">
      <c r="B15" s="24" t="s">
        <v>5</v>
      </c>
      <c r="C15" s="19">
        <v>55</v>
      </c>
      <c r="D15" s="9">
        <f t="shared" si="0"/>
        <v>45903</v>
      </c>
      <c r="E15" s="1">
        <v>7</v>
      </c>
      <c r="F15" s="1">
        <v>28</v>
      </c>
      <c r="G15" s="1">
        <v>20</v>
      </c>
      <c r="H15" s="16">
        <f t="shared" si="1"/>
        <v>169</v>
      </c>
      <c r="I15" s="16">
        <f t="shared" si="2"/>
        <v>165</v>
      </c>
    </row>
    <row r="16" spans="2:24" x14ac:dyDescent="0.35">
      <c r="B16" s="26"/>
      <c r="C16" s="20"/>
      <c r="D16" s="9">
        <f t="shared" si="0"/>
        <v>45910</v>
      </c>
      <c r="E16" s="13">
        <v>8</v>
      </c>
      <c r="F16" s="1">
        <v>27</v>
      </c>
      <c r="G16" s="18">
        <v>25</v>
      </c>
      <c r="H16" s="16">
        <f t="shared" si="1"/>
        <v>149</v>
      </c>
      <c r="I16" s="16">
        <f t="shared" si="2"/>
        <v>137</v>
      </c>
      <c r="J16" t="s">
        <v>17</v>
      </c>
      <c r="X16">
        <v>3</v>
      </c>
    </row>
    <row r="17" spans="2:9" x14ac:dyDescent="0.35">
      <c r="B17" s="24" t="s">
        <v>6</v>
      </c>
      <c r="C17" s="27">
        <v>55</v>
      </c>
      <c r="D17" s="9">
        <f t="shared" si="0"/>
        <v>45917</v>
      </c>
      <c r="E17" s="1">
        <v>9</v>
      </c>
      <c r="F17" s="1">
        <v>28</v>
      </c>
      <c r="G17" s="1">
        <v>28</v>
      </c>
      <c r="H17" s="16">
        <f>H16-G16</f>
        <v>124</v>
      </c>
      <c r="I17" s="16">
        <f t="shared" si="2"/>
        <v>110</v>
      </c>
    </row>
    <row r="18" spans="2:9" x14ac:dyDescent="0.35">
      <c r="B18" s="25"/>
      <c r="C18" s="27"/>
      <c r="D18" s="9">
        <f t="shared" si="0"/>
        <v>45924</v>
      </c>
      <c r="E18" s="7" t="s">
        <v>10</v>
      </c>
      <c r="F18" s="1">
        <v>0</v>
      </c>
      <c r="G18" s="1">
        <v>10</v>
      </c>
      <c r="H18" s="16">
        <f t="shared" si="1"/>
        <v>96</v>
      </c>
      <c r="I18" s="16">
        <f t="shared" si="2"/>
        <v>82</v>
      </c>
    </row>
    <row r="19" spans="2:9" x14ac:dyDescent="0.35">
      <c r="B19" s="26"/>
      <c r="C19" s="27"/>
      <c r="D19" s="9">
        <f t="shared" si="0"/>
        <v>45931</v>
      </c>
      <c r="E19" s="1">
        <v>10</v>
      </c>
      <c r="F19" s="1">
        <v>27</v>
      </c>
      <c r="G19" s="1">
        <v>10</v>
      </c>
      <c r="H19" s="16">
        <f t="shared" si="1"/>
        <v>86</v>
      </c>
      <c r="I19" s="16">
        <f t="shared" si="2"/>
        <v>82</v>
      </c>
    </row>
    <row r="20" spans="2:9" x14ac:dyDescent="0.35">
      <c r="B20" s="21" t="s">
        <v>12</v>
      </c>
      <c r="C20" s="19">
        <v>55</v>
      </c>
      <c r="D20" s="9">
        <f t="shared" si="0"/>
        <v>45938</v>
      </c>
      <c r="E20" s="1">
        <v>11</v>
      </c>
      <c r="F20" s="1">
        <v>28</v>
      </c>
      <c r="G20" s="1">
        <v>28</v>
      </c>
      <c r="H20" s="16">
        <f t="shared" si="1"/>
        <v>76</v>
      </c>
      <c r="I20" s="16">
        <f t="shared" si="2"/>
        <v>55</v>
      </c>
    </row>
    <row r="21" spans="2:9" x14ac:dyDescent="0.35">
      <c r="B21" s="21"/>
      <c r="C21" s="22"/>
      <c r="D21" s="9">
        <f t="shared" si="0"/>
        <v>45945</v>
      </c>
      <c r="E21" s="1">
        <v>12</v>
      </c>
      <c r="F21" s="1">
        <v>27</v>
      </c>
      <c r="G21" s="1">
        <v>27</v>
      </c>
      <c r="H21" s="16">
        <f t="shared" si="1"/>
        <v>48</v>
      </c>
      <c r="I21" s="16">
        <f t="shared" si="2"/>
        <v>27</v>
      </c>
    </row>
    <row r="22" spans="2:9" x14ac:dyDescent="0.35">
      <c r="B22" s="21"/>
      <c r="C22" s="20"/>
      <c r="D22" s="9">
        <f t="shared" si="0"/>
        <v>45952</v>
      </c>
      <c r="E22" s="1">
        <v>13</v>
      </c>
      <c r="F22" s="1">
        <v>0</v>
      </c>
      <c r="G22" s="1">
        <v>0</v>
      </c>
      <c r="H22" s="16">
        <f t="shared" si="1"/>
        <v>21</v>
      </c>
      <c r="I22" s="16">
        <f t="shared" si="2"/>
        <v>0</v>
      </c>
    </row>
    <row r="23" spans="2:9" x14ac:dyDescent="0.35">
      <c r="B23" s="17"/>
      <c r="C23" s="6">
        <f>SUM(C11:C22)</f>
        <v>275</v>
      </c>
    </row>
  </sheetData>
  <mergeCells count="13">
    <mergeCell ref="C15:C16"/>
    <mergeCell ref="B20:B22"/>
    <mergeCell ref="C20:C22"/>
    <mergeCell ref="E6:P6"/>
    <mergeCell ref="B17:B19"/>
    <mergeCell ref="C17:C19"/>
    <mergeCell ref="C9:C10"/>
    <mergeCell ref="B9:B10"/>
    <mergeCell ref="B11:B12"/>
    <mergeCell ref="B13:B14"/>
    <mergeCell ref="C11:C12"/>
    <mergeCell ref="C13:C14"/>
    <mergeCell ref="B15:B16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8</vt:i4>
      </vt:variant>
    </vt:vector>
  </HeadingPairs>
  <TitlesOfParts>
    <vt:vector size="9" baseType="lpstr">
      <vt:lpstr>BURNDOWN CHART</vt:lpstr>
      <vt:lpstr>Gráfico2</vt:lpstr>
      <vt:lpstr>Gráfico1</vt:lpstr>
      <vt:lpstr>Gráfico6</vt:lpstr>
      <vt:lpstr>Gráfico5</vt:lpstr>
      <vt:lpstr>Gráfico4</vt:lpstr>
      <vt:lpstr>Gráfico3</vt:lpstr>
      <vt:lpstr>Gráfico8</vt:lpstr>
      <vt:lpstr>Gráfico7</vt:lpstr>
    </vt:vector>
  </TitlesOfParts>
  <Company>stakeholdermap.com</Company>
  <LinksUpToDate>false</LinksUpToDate>
  <SharedDoc>false</SharedDoc>
  <HyperlinkBase>https://www.stakeholdermap.com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Burndown Chart</dc:title>
  <dc:subject>Agile Project Management</dc:subject>
  <dc:creator>stakeholdermap.com</dc:creator>
  <cp:keywords>agile, project, burndown, templates</cp:keywords>
  <cp:lastModifiedBy>Usuario</cp:lastModifiedBy>
  <dcterms:created xsi:type="dcterms:W3CDTF">2021-06-10T09:43:09Z</dcterms:created>
  <dcterms:modified xsi:type="dcterms:W3CDTF">2025-10-08T01:42:25Z</dcterms:modified>
  <cp:category>Agile Templates</cp:category>
</cp:coreProperties>
</file>